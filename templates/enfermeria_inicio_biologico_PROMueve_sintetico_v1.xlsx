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ICIO_BIOLOGICO" sheetId="1" state="visible" r:id="rId1"/>
    <sheet name="PANEL_ENFERMERIA" sheetId="2" state="visible" r:id="rId2"/>
    <sheet name="LISTAS" sheetId="3" state="visible" r:id="rId3"/>
    <sheet name="INSTRUCCIONES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<sst xmlns="http://schemas.openxmlformats.org/spreadsheetml/2006/main" count="90" uniqueCount="90">
  <si>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 xml:space="preserve">Registro Enfermería · Inicio de biológico</t>
  </si>
  <si>
    <t xml:space="preserve">Registro mínimo de vigilancia prebiológica. Farmacia leerá este archivo desde el Hub, por eso los estados deben elegirse con desplegables.</t>
  </si>
  <si>
    <t>CIP</t>
  </si>
  <si>
    <t>Paciente</t>
  </si>
  <si>
    <t>Servicio</t>
  </si>
  <si>
    <t>Patología</t>
  </si>
  <si>
    <t>Fármaco</t>
  </si>
  <si>
    <t>Analítica</t>
  </si>
  <si>
    <t>Mantoux</t>
  </si>
  <si>
    <t>IGRA</t>
  </si>
  <si>
    <t>VHB</t>
  </si>
  <si>
    <t>VHC</t>
  </si>
  <si>
    <t>VIH</t>
  </si>
  <si>
    <t xml:space="preserve">Med. Preventiva</t>
  </si>
  <si>
    <t>Estado</t>
  </si>
  <si>
    <t xml:space="preserve">Fecha OK</t>
  </si>
  <si>
    <t xml:space="preserve">Observación prebiológico</t>
  </si>
  <si>
    <t>000000001</t>
  </si>
  <si>
    <t xml:space="preserve">Paciente A</t>
  </si>
  <si>
    <t>Derma</t>
  </si>
  <si>
    <t>HS</t>
  </si>
  <si>
    <t>Secukinumab</t>
  </si>
  <si>
    <t>OK</t>
  </si>
  <si>
    <t>NEGATIVO</t>
  </si>
  <si>
    <t xml:space="preserve">NO PRECISA</t>
  </si>
  <si>
    <t>PENDIENTE</t>
  </si>
  <si>
    <t xml:space="preserve">Pendiente cita Preventiva</t>
  </si>
  <si>
    <t>000000002</t>
  </si>
  <si>
    <t xml:space="preserve">Paciente B</t>
  </si>
  <si>
    <t>Adalimumab</t>
  </si>
  <si>
    <t xml:space="preserve">ALTERADA / BLOQUEO</t>
  </si>
  <si>
    <t xml:space="preserve">Analítica alterada, avisado médico</t>
  </si>
  <si>
    <t>000000003</t>
  </si>
  <si>
    <t xml:space="preserve">Paciente C</t>
  </si>
  <si>
    <t>Reuma</t>
  </si>
  <si>
    <t>AR</t>
  </si>
  <si>
    <t>Upadacitinib</t>
  </si>
  <si>
    <t>000000004</t>
  </si>
  <si>
    <t xml:space="preserve">Paciente D</t>
  </si>
  <si>
    <t>Digestivo</t>
  </si>
  <si>
    <t>EII</t>
  </si>
  <si>
    <t>Vedolizumab</t>
  </si>
  <si>
    <t xml:space="preserve">Panel Enfermería · Resumen y evolución por servicio</t>
  </si>
  <si>
    <t xml:space="preserve">Resumen automático calculado desde la hoja INICIO_BIOLOGICO. No editar este panel.</t>
  </si>
  <si>
    <t>Indicador</t>
  </si>
  <si>
    <t xml:space="preserve">Nº pacientes</t>
  </si>
  <si>
    <t>Total</t>
  </si>
  <si>
    <t xml:space="preserve">OK Farmacia</t>
  </si>
  <si>
    <t xml:space="preserve">En vigilancia</t>
  </si>
  <si>
    <t>Bloqueados</t>
  </si>
  <si>
    <t xml:space="preserve">Total registros</t>
  </si>
  <si>
    <t>Otro</t>
  </si>
  <si>
    <t xml:space="preserve">Cómo usarlo en consulta</t>
  </si>
  <si>
    <t>1</t>
  </si>
  <si>
    <t xml:space="preserve">Filtra por Servicio en la hoja INICIO_BIOLOGICO.</t>
  </si>
  <si>
    <t>2</t>
  </si>
  <si>
    <t xml:space="preserve">Actualiza solo desplegables: Analítica, Mantoux, IGRA, VHB, VHC, VIH y Medicina Preventiva.</t>
  </si>
  <si>
    <t>3</t>
  </si>
  <si>
    <t xml:space="preserve">El Estado se calcula automáticamente: OK FARMACIA / EN VIGILANCIA / BLOQUEADO.</t>
  </si>
  <si>
    <t>4</t>
  </si>
  <si>
    <t xml:space="preserve">Si todo está OK, Farmacia verá el paciente como OK FARMACIA al cargar el Excel.</t>
  </si>
  <si>
    <t>5</t>
  </si>
  <si>
    <t xml:space="preserve">Usa Observación prebiológico solo para incidencias breves.</t>
  </si>
  <si>
    <t xml:space="preserve">No escribir valores libres en columnas de estado: el Hub necesita valores cerrados.</t>
  </si>
  <si>
    <t>Mantoux/IGRA</t>
  </si>
  <si>
    <t>Serologías</t>
  </si>
  <si>
    <t xml:space="preserve">Medicina Preventiva</t>
  </si>
  <si>
    <t>Psoriasis</t>
  </si>
  <si>
    <t>SOLICITADA</t>
  </si>
  <si>
    <t xml:space="preserve">Dermatitis atópica</t>
  </si>
  <si>
    <t>POSITIVO</t>
  </si>
  <si>
    <t>CITADO</t>
  </si>
  <si>
    <t>Vitíligo</t>
  </si>
  <si>
    <t xml:space="preserve">POSITIVO - TRATADO</t>
  </si>
  <si>
    <t xml:space="preserve">Alopecia areata</t>
  </si>
  <si>
    <t xml:space="preserve">PENDIENTE VACUNACIÓN / BLOQUEO</t>
  </si>
  <si>
    <t>Espondiloartritis</t>
  </si>
  <si>
    <t xml:space="preserve">Artritis psoriásica</t>
  </si>
  <si>
    <t>Otra</t>
  </si>
  <si>
    <t xml:space="preserve">Instrucciones rápidas para Enfermería</t>
  </si>
  <si>
    <t xml:space="preserve">Qué se registra</t>
  </si>
  <si>
    <t xml:space="preserve">Solo vigilancia prebiológica: analítica, screening infeccioso, serologías y Medicina Preventiva/cartilla vacunal.</t>
  </si>
  <si>
    <t xml:space="preserve">Qué no se registra aquí</t>
  </si>
  <si>
    <t xml:space="preserve">Validación, primera visita, seguimiento farmacéutico y renovaciones: lo centraliza Farmacia en su Excel/Hub.</t>
  </si>
  <si>
    <t xml:space="preserve">Cómo se actualiza</t>
  </si>
  <si>
    <t xml:space="preserve">Elegir siempre valores de los desplegables. Evitar escribir “ok”, “hecha”, “sí”, “pendiente de mirar”, etc.</t>
  </si>
  <si>
    <t xml:space="preserve">Cuándo está OK</t>
  </si>
  <si>
    <t xml:space="preserve">El Estado pasa a OK FARMACIA cuando analítica/medicina preventiva están OK o NO PRECISA y el screening/serologías no tienen positivos pendientes.</t>
  </si>
  <si>
    <t xml:space="preserve">Qué hacer si hay alteración</t>
  </si>
  <si>
    <t xml:space="preserve">Seleccionar ALTERADA / BLOQUEO o POSITIVO y añadir una observación breve. La decisión clínica corresponde al médico.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</si>
</sst>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0">
    <font>
      <sz val="11.000000"/>
      <name val="Carlito"/>
    </font>
    <font>
      <b/>
      <sz val="16.000000"/>
      <color indexed="65"/>
      <name val="Carlito"/>
    </font>
    <font>
      <sz val="10.000000"/>
      <color rgb="FF1F2D3A"/>
      <name val="Carlito"/>
    </font>
    <font>
      <b/>
      <sz val="11.000000"/>
      <color indexed="65"/>
      <name val="Carlito"/>
    </font>
    <font>
      <i/>
      <sz val="11.000000"/>
      <color rgb="FF5B6B75"/>
      <name val="Carlito"/>
    </font>
    <font>
      <b/>
      <sz val="12.000000"/>
      <color indexed="65"/>
      <name val="Carlito"/>
    </font>
    <font>
      <b/>
      <sz val="11.000000"/>
      <color rgb="FF1F2D3A"/>
      <name val="Carlito"/>
    </font>
    <font>
      <b/>
      <sz val="14.000000"/>
      <color rgb="FF1F2D3A"/>
      <name val="Carlito"/>
    </font>
    <font>
      <sz val="11.000000"/>
      <color rgb="FF1F2D3A"/>
      <name val="Carlito"/>
    </font>
    <font>
      <b/>
      <sz val="11.000000"/>
      <color rgb="FF004563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04563"/>
      </patternFill>
    </fill>
    <fill>
      <patternFill patternType="solid">
        <fgColor rgb="FFEAF2F6"/>
      </patternFill>
    </fill>
    <fill>
      <patternFill patternType="solid">
        <fgColor rgb="FF00415F"/>
      </patternFill>
    </fill>
    <fill>
      <patternFill patternType="solid">
        <fgColor rgb="FFF5F8FA"/>
      </patternFill>
    </fill>
    <fill>
      <patternFill patternType="solid">
        <fgColor indexed="65"/>
      </patternFill>
    </fill>
    <fill>
      <patternFill patternType="solid">
        <fgColor rgb="FFE5F3EA"/>
      </patternFill>
    </fill>
    <fill>
      <patternFill patternType="solid">
        <fgColor rgb="FFFFF2D6"/>
      </patternFill>
    </fill>
    <fill>
      <patternFill patternType="solid">
        <fgColor rgb="FFFBE3E3"/>
      </patternFill>
    </fill>
    <fill>
      <patternFill patternType="solid">
        <fgColor rgb="FF5AA7B0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31">
    <xf fontId="0" fillId="0" borderId="0" numFmtId="0" xfId="0"/>
    <xf fontId="1" fillId="2" borderId="0" numFmtId="0" xfId="0" applyFont="1" applyFill="1" applyAlignment="1">
      <alignment horizontal="center" vertical="center"/>
    </xf>
    <xf fontId="0" fillId="0" borderId="0" numFmtId="0" xfId="0" applyAlignment="1">
      <alignment vertical="center"/>
    </xf>
    <xf fontId="2" fillId="3" borderId="0" numFmtId="0" xfId="0" applyFont="1" applyFill="1" applyAlignment="1">
      <alignment horizontal="center" vertical="center"/>
    </xf>
    <xf fontId="3" fillId="2" borderId="0" numFmtId="0" xfId="0" applyFont="1" applyFill="1" applyAlignment="1">
      <alignment horizontal="center" vertical="center" wrapText="1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horizontal="left" vertical="center" wrapText="1"/>
    </xf>
    <xf fontId="2" fillId="0" borderId="0" numFmtId="164" xfId="0" applyNumberFormat="1" applyFont="1" applyAlignment="1">
      <alignment horizontal="center" vertical="center" wrapText="1"/>
    </xf>
    <xf fontId="1" fillId="4" borderId="0" numFmtId="0" xfId="0" applyFont="1" applyFill="1" applyAlignment="1">
      <alignment horizontal="center" vertical="center"/>
    </xf>
    <xf fontId="4" fillId="5" borderId="0" numFmtId="0" xfId="0" applyFont="1" applyFill="1" applyAlignment="1">
      <alignment horizontal="center" vertical="center"/>
    </xf>
    <xf fontId="3" fillId="0" borderId="0" numFmtId="0" xfId="0" applyFont="1" applyAlignment="1">
      <alignment horizontal="center" vertical="center"/>
    </xf>
    <xf fontId="3" fillId="4" borderId="0" numFmtId="0" xfId="0" applyFont="1" applyFill="1" applyAlignment="1">
      <alignment horizontal="center" vertical="center"/>
    </xf>
    <xf fontId="5" fillId="4" borderId="0" numFmtId="0" xfId="0" applyFont="1" applyFill="1" applyAlignment="1">
      <alignment horizontal="center" vertical="center"/>
    </xf>
    <xf fontId="6" fillId="6" borderId="1" numFmtId="0" xfId="0" applyFont="1" applyFill="1" applyBorder="1" applyAlignment="1">
      <alignment vertical="center"/>
    </xf>
    <xf fontId="7" fillId="6" borderId="1" numFmtId="0" xfId="0" applyFont="1" applyFill="1" applyBorder="1" applyAlignment="1">
      <alignment horizontal="center" vertical="center"/>
    </xf>
    <xf fontId="6" fillId="6" borderId="1" numFmtId="0" xfId="0" applyFont="1" applyFill="1" applyBorder="1" applyAlignment="1">
      <alignment horizontal="left" vertical="center"/>
    </xf>
    <xf fontId="6" fillId="6" borderId="1" numFmtId="0" xfId="0" applyFont="1" applyFill="1" applyBorder="1" applyAlignment="1">
      <alignment horizontal="center" vertical="center"/>
    </xf>
    <xf fontId="6" fillId="7" borderId="1" numFmtId="0" xfId="0" applyFont="1" applyFill="1" applyBorder="1" applyAlignment="1">
      <alignment horizontal="center" vertical="center"/>
    </xf>
    <xf fontId="6" fillId="8" borderId="1" numFmtId="0" xfId="0" applyFont="1" applyFill="1" applyBorder="1" applyAlignment="1">
      <alignment horizontal="center" vertical="center"/>
    </xf>
    <xf fontId="6" fillId="9" borderId="1" numFmtId="0" xfId="0" applyFont="1" applyFill="1" applyBorder="1" applyAlignment="1">
      <alignment horizontal="center" vertical="center"/>
    </xf>
    <xf fontId="8" fillId="6" borderId="1" numFmtId="0" xfId="0" applyFont="1" applyFill="1" applyBorder="1" applyAlignment="1">
      <alignment vertical="center"/>
    </xf>
    <xf fontId="3" fillId="10" borderId="0" numFmtId="0" xfId="0" applyFont="1" applyFill="1" applyAlignment="1">
      <alignment horizontal="left" vertical="center"/>
    </xf>
    <xf fontId="3" fillId="10" borderId="0" numFmtId="0" xfId="0" applyFont="1" applyFill="1" applyAlignment="1">
      <alignment horizontal="left" vertical="center" wrapText="1"/>
    </xf>
    <xf fontId="6" fillId="6" borderId="2" numFmtId="0" xfId="0" applyFont="1" applyFill="1" applyBorder="1" applyAlignment="1">
      <alignment horizontal="center" vertical="center" wrapText="1"/>
    </xf>
    <xf fontId="8" fillId="6" borderId="0" numFmtId="0" xfId="0" applyFont="1" applyFill="1" applyAlignment="1">
      <alignment horizontal="left" vertical="center" wrapText="1"/>
    </xf>
    <xf fontId="6" fillId="6" borderId="0" numFmtId="0" xfId="0" applyFont="1" applyFill="1" applyAlignment="1">
      <alignment horizontal="center" vertical="center" wrapText="1"/>
    </xf>
    <xf fontId="8" fillId="6" borderId="2" numFmtId="0" xfId="0" applyFont="1" applyFill="1" applyBorder="1" applyAlignment="1">
      <alignment vertical="center" wrapText="1"/>
    </xf>
    <xf fontId="8" fillId="6" borderId="0" numFmtId="0" xfId="0" applyFont="1" applyFill="1" applyAlignment="1">
      <alignment horizontal="left" vertical="center" wrapText="1"/>
    </xf>
    <xf fontId="3" fillId="2" borderId="0" numFmtId="0" xfId="0" applyFont="1" applyFill="1" applyAlignment="1">
      <alignment vertical="center"/>
    </xf>
    <xf fontId="9" fillId="3" borderId="0" numFmtId="0" xfId="0" applyFont="1" applyFill="1" applyAlignment="1">
      <alignment vertical="center" wrapText="1"/>
    </xf>
    <xf fontId="0" fillId="0" borderId="0" numFmtId="0" xfId="0" applyAlignment="1">
      <alignment vertical="center" wrapText="1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bl_Inicio_Biologico" ref="A4:O157" headerRowCount="1">
  <tableColumns count="15">
    <tableColumn id="1" name="CIP"/>
    <tableColumn id="2" name="Paciente"/>
    <tableColumn id="3" name="Servicio"/>
    <tableColumn id="4" name="Patología"/>
    <tableColumn id="5" name="Fármaco"/>
    <tableColumn id="6" name="Analítica"/>
    <tableColumn id="7" name="Mantoux"/>
    <tableColumn id="8" name="IGRA"/>
    <tableColumn id="9" name="VHB"/>
    <tableColumn id="10" name="VHC"/>
    <tableColumn id="11" name="VIH"/>
    <tableColumn id="12" name="Med. Preventiva"/>
    <tableColumn id="13" name="Estado"/>
    <tableColumn id="14" name="Fecha OK"/>
    <tableColumn id="15" name="Observación prebiológico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"/>
    <col customWidth="1" min="2" max="2" width="24"/>
    <col customWidth="1" min="3" max="3" width="14"/>
    <col customWidth="1" min="4" max="4" width="18"/>
    <col customWidth="1" min="5" max="6" width="20"/>
    <col customWidth="1" min="7" max="8" width="16"/>
    <col customWidth="1" min="9" max="11" width="14"/>
    <col customWidth="1" min="12" max="12" width="26"/>
    <col customWidth="1" min="13" max="13" width="18"/>
    <col customWidth="1" min="14" max="14" width="13"/>
    <col customWidth="1" min="15" max="15" width="34"/>
  </cols>
  <sheetData>
    <row r="1" ht="3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2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34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</row>
    <row r="5" ht="28" customHeight="1">
      <c r="A5" s="5" t="s">
        <v>17</v>
      </c>
      <c r="B5" s="6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23</v>
      </c>
      <c r="J5" s="5" t="s">
        <v>23</v>
      </c>
      <c r="K5" s="5" t="s">
        <v>23</v>
      </c>
      <c r="L5" s="5" t="s">
        <v>25</v>
      </c>
      <c r="M5" s="5" t="str">
        <f t="shared" ref="M5:M9" si="0">IF(A5="","",IF(OR(F5="ALTERADA / BLOQUEO",L5="PENDIENTE VACUNACIÓN / BLOQUEO",G5="POSITIVO",H5="POSITIVO",I5="POSITIVO",J5="POSITIVO",K5="POSITIVO"),"BLOQUEADO",IF(AND(OR(F5="OK",F5="NO PRECISA"),OR(L5="OK",L5="NO PRECISA"),OR(G5="NEGATIVO",G5="POSITIVO - TRATADO",G5="NO PRECISA"),OR(H5="NEGATIVO",H5="POSITIVO - TRATADO",H5="NO PRECISA"),OR(I5="NEGATIVO",I5="NO PRECISA"),OR(J5="NEGATIVO",J5="NO PRECISA"),OR(K5="NEGATIVO",K5="NO PRECISA")),"OK FARMACIA","EN VIGILANCIA")))</f>
        <v xml:space="preserve">EN VIGILANCIA</v>
      </c>
      <c r="N5" s="7"/>
      <c r="O5" s="6" t="s">
        <v>26</v>
      </c>
    </row>
    <row r="6" ht="28" customHeight="1">
      <c r="A6" s="5" t="s">
        <v>27</v>
      </c>
      <c r="B6" s="6" t="s">
        <v>28</v>
      </c>
      <c r="C6" s="5" t="s">
        <v>19</v>
      </c>
      <c r="D6" s="5" t="s">
        <v>20</v>
      </c>
      <c r="E6" s="5" t="s">
        <v>29</v>
      </c>
      <c r="F6" s="5" t="s">
        <v>30</v>
      </c>
      <c r="G6" s="5" t="s">
        <v>25</v>
      </c>
      <c r="H6" s="5" t="s">
        <v>25</v>
      </c>
      <c r="I6" s="5" t="s">
        <v>23</v>
      </c>
      <c r="J6" s="5" t="s">
        <v>23</v>
      </c>
      <c r="K6" s="5" t="s">
        <v>23</v>
      </c>
      <c r="L6" s="5" t="s">
        <v>22</v>
      </c>
      <c r="M6" s="5" t="str">
        <f t="shared" si="0"/>
        <v>BLOQUEADO</v>
      </c>
      <c r="N6" s="7"/>
      <c r="O6" s="6" t="s">
        <v>31</v>
      </c>
    </row>
    <row r="7" ht="28" customHeight="1">
      <c r="A7" s="5" t="s">
        <v>32</v>
      </c>
      <c r="B7" s="6" t="s">
        <v>33</v>
      </c>
      <c r="C7" s="5" t="s">
        <v>34</v>
      </c>
      <c r="D7" s="5" t="s">
        <v>35</v>
      </c>
      <c r="E7" s="5" t="s">
        <v>36</v>
      </c>
      <c r="F7" s="5" t="s">
        <v>22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23</v>
      </c>
      <c r="L7" s="5" t="s">
        <v>22</v>
      </c>
      <c r="M7" s="5" t="str">
        <f t="shared" si="0"/>
        <v xml:space="preserve">OK FARMACIA</v>
      </c>
      <c r="N7" s="7">
        <v>46185</v>
      </c>
      <c r="O7" s="6"/>
    </row>
    <row r="8" ht="28" customHeight="1">
      <c r="A8" s="5" t="s">
        <v>37</v>
      </c>
      <c r="B8" s="6" t="s">
        <v>38</v>
      </c>
      <c r="C8" s="5" t="s">
        <v>39</v>
      </c>
      <c r="D8" s="5" t="s">
        <v>40</v>
      </c>
      <c r="E8" s="5" t="s">
        <v>41</v>
      </c>
      <c r="F8" s="5" t="s">
        <v>25</v>
      </c>
      <c r="G8" s="5" t="s">
        <v>24</v>
      </c>
      <c r="H8" s="5" t="s">
        <v>24</v>
      </c>
      <c r="I8" s="5" t="s">
        <v>23</v>
      </c>
      <c r="J8" s="5" t="s">
        <v>23</v>
      </c>
      <c r="K8" s="5" t="s">
        <v>23</v>
      </c>
      <c r="L8" s="5" t="s">
        <v>24</v>
      </c>
      <c r="M8" s="5" t="str">
        <f t="shared" si="0"/>
        <v xml:space="preserve">EN VIGILANCIA</v>
      </c>
      <c r="N8" s="7"/>
      <c r="O8" s="6"/>
    </row>
    <row r="9" ht="28" customHeight="1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 t="str">
        <f t="shared" si="0"/>
        <v/>
      </c>
      <c r="N9" s="7"/>
      <c r="O9" s="6"/>
    </row>
    <row r="10" ht="28" customHeight="1">
      <c r="A10" s="5"/>
      <c r="B10" s="6"/>
      <c r="C10" s="5"/>
      <c r="D10" s="5"/>
      <c r="E10" s="5"/>
      <c r="F10" s="5"/>
      <c r="G10" s="5"/>
      <c r="H10" s="5"/>
      <c r="I10" s="5"/>
      <c r="J10" s="5"/>
      <c r="K10" s="5"/>
      <c r="L10" s="5"/>
      <c r="M10" s="5" t="str">
        <f t="shared" ref="M10:M73" si="1">IF(A10="","",IF(OR(F10="ALTERADA / BLOQUEO",L10="PENDIENTE VACUNACIÓN / BLOQUEO",G10="POSITIVO",H10="POSITIVO",I10="POSITIVO",J10="POSITIVO",K10="POSITIVO"),"BLOQUEADO",IF(AND(OR(F10="OK",F10="NO PRECISA"),OR(L10="OK",L10="NO PRECISA"),OR(G10="NEGATIVO",G10="POSITIVO - TRATADO",G10="NO PRECISA"),OR(H10="NEGATIVO",H10="POSITIVO - TRATADO",H10="NO PRECISA"),OR(I10="NEGATIVO",I10="NO PRECISA"),OR(J10="NEGATIVO",J10="NO PRECISA"),OR(K10="NEGATIVO",K10="NO PRECISA")),"OK FARMACIA","EN VIGILANCIA")))</f>
        <v/>
      </c>
      <c r="N10" s="7"/>
      <c r="O10" s="6"/>
    </row>
    <row r="11" ht="28" customHeight="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tr">
        <f t="shared" si="1"/>
        <v/>
      </c>
      <c r="N11" s="7"/>
      <c r="O11" s="6"/>
    </row>
    <row r="12" ht="28" customHeight="1">
      <c r="A12" s="5"/>
      <c r="B12" s="6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tr">
        <f t="shared" si="1"/>
        <v/>
      </c>
      <c r="N12" s="7"/>
      <c r="O12" s="6"/>
    </row>
    <row r="13" ht="28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 t="str">
        <f t="shared" si="1"/>
        <v/>
      </c>
      <c r="N13" s="7"/>
      <c r="O13" s="6"/>
    </row>
    <row r="14" ht="28" customHeight="1">
      <c r="A14" s="5"/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 t="str">
        <f t="shared" si="1"/>
        <v/>
      </c>
      <c r="N14" s="7"/>
      <c r="O14" s="6"/>
    </row>
    <row r="15" ht="28" customHeight="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 t="str">
        <f t="shared" si="1"/>
        <v/>
      </c>
      <c r="N15" s="7"/>
      <c r="O15" s="6"/>
    </row>
    <row r="16" ht="28" customHeight="1">
      <c r="A16" s="5"/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 t="str">
        <f t="shared" si="1"/>
        <v/>
      </c>
      <c r="N16" s="7"/>
      <c r="O16" s="6"/>
    </row>
    <row r="17" ht="28" customHeight="1">
      <c r="A17" s="5"/>
      <c r="B17" s="6"/>
      <c r="C17" s="5"/>
      <c r="D17" s="5"/>
      <c r="E17" s="5"/>
      <c r="F17" s="5"/>
      <c r="G17" s="5"/>
      <c r="H17" s="5"/>
      <c r="I17" s="5"/>
      <c r="J17" s="5"/>
      <c r="K17" s="5"/>
      <c r="L17" s="5"/>
      <c r="M17" s="5" t="str">
        <f t="shared" si="1"/>
        <v/>
      </c>
      <c r="N17" s="7"/>
      <c r="O17" s="6"/>
    </row>
    <row r="18" ht="28" customHeight="1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  <c r="M18" s="5" t="str">
        <f t="shared" si="1"/>
        <v/>
      </c>
      <c r="N18" s="7"/>
      <c r="O18" s="6"/>
    </row>
    <row r="19" ht="28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 t="str">
        <f t="shared" si="1"/>
        <v/>
      </c>
      <c r="N19" s="7"/>
      <c r="O19" s="6"/>
    </row>
    <row r="20" ht="28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 t="str">
        <f t="shared" si="1"/>
        <v/>
      </c>
      <c r="N20" s="7"/>
      <c r="O20" s="6"/>
    </row>
    <row r="21" ht="28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 t="str">
        <f t="shared" si="1"/>
        <v/>
      </c>
      <c r="N21" s="7"/>
      <c r="O21" s="6"/>
    </row>
    <row r="22" ht="28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 t="str">
        <f t="shared" si="1"/>
        <v/>
      </c>
      <c r="N22" s="7"/>
      <c r="O22" s="6"/>
    </row>
    <row r="23" ht="28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 t="str">
        <f t="shared" si="1"/>
        <v/>
      </c>
      <c r="N23" s="7"/>
      <c r="O23" s="6"/>
    </row>
    <row r="24" ht="28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 t="str">
        <f t="shared" si="1"/>
        <v/>
      </c>
      <c r="N24" s="7"/>
      <c r="O24" s="6"/>
    </row>
    <row r="25" ht="28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 t="str">
        <f t="shared" si="1"/>
        <v/>
      </c>
      <c r="N25" s="7"/>
      <c r="O25" s="6"/>
    </row>
    <row r="26" ht="28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 t="str">
        <f t="shared" si="1"/>
        <v/>
      </c>
      <c r="N26" s="7"/>
      <c r="O26" s="6"/>
    </row>
    <row r="27" ht="28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 t="str">
        <f t="shared" si="1"/>
        <v/>
      </c>
      <c r="N27" s="7"/>
      <c r="O27" s="6"/>
    </row>
    <row r="28" ht="28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 t="str">
        <f t="shared" si="1"/>
        <v/>
      </c>
      <c r="N28" s="7"/>
      <c r="O28" s="6"/>
    </row>
    <row r="29" ht="28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 t="str">
        <f t="shared" si="1"/>
        <v/>
      </c>
      <c r="N29" s="7"/>
      <c r="O29" s="6"/>
    </row>
    <row r="30" ht="28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 t="str">
        <f t="shared" si="1"/>
        <v/>
      </c>
      <c r="N30" s="7"/>
      <c r="O30" s="6"/>
    </row>
    <row r="31" ht="28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 t="str">
        <f t="shared" si="1"/>
        <v/>
      </c>
      <c r="N31" s="7"/>
      <c r="O31" s="6"/>
    </row>
    <row r="32" ht="28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 t="str">
        <f t="shared" si="1"/>
        <v/>
      </c>
      <c r="N32" s="7"/>
      <c r="O32" s="6"/>
    </row>
    <row r="33" ht="28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 t="str">
        <f t="shared" si="1"/>
        <v/>
      </c>
      <c r="N33" s="7"/>
      <c r="O33" s="6"/>
    </row>
    <row r="34" ht="28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 t="str">
        <f t="shared" si="1"/>
        <v/>
      </c>
      <c r="N34" s="7"/>
      <c r="O34" s="6"/>
    </row>
    <row r="35" ht="28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 t="str">
        <f t="shared" si="1"/>
        <v/>
      </c>
      <c r="N35" s="7"/>
      <c r="O35" s="6"/>
    </row>
    <row r="36" ht="28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 t="str">
        <f t="shared" si="1"/>
        <v/>
      </c>
      <c r="N36" s="7"/>
      <c r="O36" s="6"/>
    </row>
    <row r="37" ht="28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 t="str">
        <f t="shared" si="1"/>
        <v/>
      </c>
      <c r="N37" s="7"/>
      <c r="O37" s="6"/>
    </row>
    <row r="38" ht="28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 t="str">
        <f t="shared" si="1"/>
        <v/>
      </c>
      <c r="N38" s="7"/>
      <c r="O38" s="6"/>
    </row>
    <row r="39" ht="28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 t="str">
        <f t="shared" si="1"/>
        <v/>
      </c>
      <c r="N39" s="7"/>
      <c r="O39" s="6"/>
    </row>
    <row r="40" ht="28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 t="str">
        <f t="shared" si="1"/>
        <v/>
      </c>
      <c r="N40" s="7"/>
      <c r="O40" s="6"/>
    </row>
    <row r="41" ht="28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 t="str">
        <f t="shared" si="1"/>
        <v/>
      </c>
      <c r="N41" s="7"/>
      <c r="O41" s="6"/>
    </row>
    <row r="42" ht="28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 t="str">
        <f t="shared" si="1"/>
        <v/>
      </c>
      <c r="N42" s="7"/>
      <c r="O42" s="6"/>
    </row>
    <row r="43" ht="28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 t="str">
        <f t="shared" si="1"/>
        <v/>
      </c>
      <c r="N43" s="7"/>
      <c r="O43" s="6"/>
    </row>
    <row r="44" ht="28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 t="str">
        <f t="shared" si="1"/>
        <v/>
      </c>
      <c r="N44" s="7"/>
      <c r="O44" s="6"/>
    </row>
    <row r="45" ht="28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 t="str">
        <f t="shared" si="1"/>
        <v/>
      </c>
      <c r="N45" s="7"/>
      <c r="O45" s="6"/>
    </row>
    <row r="46" ht="28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 t="str">
        <f t="shared" si="1"/>
        <v/>
      </c>
      <c r="N46" s="7"/>
      <c r="O46" s="6"/>
    </row>
    <row r="47" ht="28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 t="str">
        <f t="shared" si="1"/>
        <v/>
      </c>
      <c r="N47" s="7"/>
      <c r="O47" s="6"/>
    </row>
    <row r="48" ht="28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 t="str">
        <f t="shared" si="1"/>
        <v/>
      </c>
      <c r="N48" s="7"/>
      <c r="O48" s="6"/>
    </row>
    <row r="49" ht="28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 t="str">
        <f t="shared" si="1"/>
        <v/>
      </c>
      <c r="N49" s="7"/>
      <c r="O49" s="6"/>
    </row>
    <row r="50" ht="28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 t="str">
        <f t="shared" si="1"/>
        <v/>
      </c>
      <c r="N50" s="7"/>
      <c r="O50" s="6"/>
    </row>
    <row r="51" ht="28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 t="str">
        <f t="shared" si="1"/>
        <v/>
      </c>
      <c r="N51" s="7"/>
      <c r="O51" s="6"/>
    </row>
    <row r="52" ht="28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 t="str">
        <f t="shared" si="1"/>
        <v/>
      </c>
      <c r="N52" s="7"/>
      <c r="O52" s="6"/>
    </row>
    <row r="53" ht="28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 t="str">
        <f t="shared" si="1"/>
        <v/>
      </c>
      <c r="N53" s="7"/>
      <c r="O53" s="6"/>
    </row>
    <row r="54" ht="28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 t="str">
        <f t="shared" si="1"/>
        <v/>
      </c>
      <c r="N54" s="7"/>
      <c r="O54" s="6"/>
    </row>
    <row r="55" ht="28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 t="str">
        <f t="shared" si="1"/>
        <v/>
      </c>
      <c r="N55" s="7"/>
      <c r="O55" s="6"/>
    </row>
    <row r="56" ht="28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 t="str">
        <f t="shared" si="1"/>
        <v/>
      </c>
      <c r="N56" s="7"/>
      <c r="O56" s="6"/>
    </row>
    <row r="57" ht="28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 t="str">
        <f t="shared" si="1"/>
        <v/>
      </c>
      <c r="N57" s="7"/>
      <c r="O57" s="6"/>
    </row>
    <row r="58" ht="28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 t="str">
        <f t="shared" si="1"/>
        <v/>
      </c>
      <c r="N58" s="7"/>
      <c r="O58" s="6"/>
    </row>
    <row r="59" ht="28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 t="str">
        <f t="shared" si="1"/>
        <v/>
      </c>
      <c r="N59" s="7"/>
      <c r="O59" s="6"/>
    </row>
    <row r="60" ht="28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 t="str">
        <f t="shared" si="1"/>
        <v/>
      </c>
      <c r="N60" s="7"/>
      <c r="O60" s="6"/>
    </row>
    <row r="61" ht="28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 t="str">
        <f t="shared" si="1"/>
        <v/>
      </c>
      <c r="N61" s="7"/>
      <c r="O61" s="6"/>
    </row>
    <row r="62" ht="28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 t="str">
        <f t="shared" si="1"/>
        <v/>
      </c>
      <c r="N62" s="7"/>
      <c r="O62" s="6"/>
    </row>
    <row r="63" ht="28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 t="str">
        <f t="shared" si="1"/>
        <v/>
      </c>
      <c r="N63" s="7"/>
      <c r="O63" s="6"/>
    </row>
    <row r="64" ht="28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 t="str">
        <f t="shared" si="1"/>
        <v/>
      </c>
      <c r="N64" s="7"/>
      <c r="O64" s="6"/>
    </row>
    <row r="65" ht="28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 t="str">
        <f t="shared" si="1"/>
        <v/>
      </c>
      <c r="N65" s="7"/>
      <c r="O65" s="6"/>
    </row>
    <row r="66" ht="28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 t="str">
        <f t="shared" si="1"/>
        <v/>
      </c>
      <c r="N66" s="7"/>
      <c r="O66" s="6"/>
    </row>
    <row r="67" ht="28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 t="str">
        <f t="shared" si="1"/>
        <v/>
      </c>
      <c r="N67" s="7"/>
      <c r="O67" s="6"/>
    </row>
    <row r="68" ht="28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 t="str">
        <f t="shared" si="1"/>
        <v/>
      </c>
      <c r="N68" s="7"/>
      <c r="O68" s="6"/>
    </row>
    <row r="69" ht="28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 t="str">
        <f t="shared" si="1"/>
        <v/>
      </c>
      <c r="N69" s="7"/>
      <c r="O69" s="6"/>
    </row>
    <row r="70" ht="28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 t="str">
        <f t="shared" si="1"/>
        <v/>
      </c>
      <c r="N70" s="7"/>
      <c r="O70" s="6"/>
    </row>
    <row r="71" ht="28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 t="str">
        <f t="shared" si="1"/>
        <v/>
      </c>
      <c r="N71" s="7"/>
      <c r="O71" s="6"/>
    </row>
    <row r="72" ht="28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 t="str">
        <f t="shared" si="1"/>
        <v/>
      </c>
      <c r="N72" s="7"/>
      <c r="O72" s="6"/>
    </row>
    <row r="73" ht="28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 t="str">
        <f t="shared" si="1"/>
        <v/>
      </c>
      <c r="N73" s="7"/>
      <c r="O73" s="6"/>
    </row>
    <row r="74" ht="28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 t="str">
        <f t="shared" ref="M74:M99" si="2">IF(A74="","",IF(OR(F74="ALTERADA / BLOQUEO",L74="PENDIENTE VACUNACIÓN / BLOQUEO",G74="POSITIVO",H74="POSITIVO",I74="POSITIVO",J74="POSITIVO",K74="POSITIVO"),"BLOQUEADO",IF(AND(OR(F74="OK",F74="NO PRECISA"),OR(L74="OK",L74="NO PRECISA"),OR(G74="NEGATIVO",G74="POSITIVO - TRATADO",G74="NO PRECISA"),OR(H74="NEGATIVO",H74="POSITIVO - TRATADO",H74="NO PRECISA"),OR(I74="NEGATIVO",I74="NO PRECISA"),OR(J74="NEGATIVO",J74="NO PRECISA"),OR(K74="NEGATIVO",K74="NO PRECISA")),"OK FARMACIA","EN VIGILANCIA")))</f>
        <v/>
      </c>
      <c r="N74" s="7"/>
      <c r="O74" s="6"/>
    </row>
    <row r="75" ht="28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 t="str">
        <f t="shared" si="2"/>
        <v/>
      </c>
      <c r="N75" s="7"/>
      <c r="O75" s="6"/>
    </row>
    <row r="76" ht="28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 t="str">
        <f t="shared" si="2"/>
        <v/>
      </c>
      <c r="N76" s="7"/>
      <c r="O76" s="6"/>
    </row>
    <row r="77" ht="28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 t="str">
        <f t="shared" si="2"/>
        <v/>
      </c>
      <c r="N77" s="7"/>
      <c r="O77" s="6"/>
    </row>
    <row r="78" ht="28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 t="str">
        <f t="shared" si="2"/>
        <v/>
      </c>
      <c r="N78" s="7"/>
      <c r="O78" s="6"/>
    </row>
    <row r="79" ht="28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 t="str">
        <f t="shared" si="2"/>
        <v/>
      </c>
      <c r="N79" s="7"/>
      <c r="O79" s="6"/>
    </row>
    <row r="80" ht="28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 t="str">
        <f t="shared" si="2"/>
        <v/>
      </c>
      <c r="N80" s="7"/>
      <c r="O80" s="6"/>
    </row>
    <row r="81" ht="28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 t="str">
        <f t="shared" si="2"/>
        <v/>
      </c>
      <c r="N81" s="7"/>
      <c r="O81" s="6"/>
    </row>
    <row r="82" ht="28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 t="str">
        <f t="shared" si="2"/>
        <v/>
      </c>
      <c r="N82" s="7"/>
      <c r="O82" s="6"/>
    </row>
    <row r="83" ht="28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 t="str">
        <f t="shared" si="2"/>
        <v/>
      </c>
      <c r="N83" s="7"/>
      <c r="O83" s="6"/>
    </row>
    <row r="84" ht="28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 t="str">
        <f t="shared" si="2"/>
        <v/>
      </c>
      <c r="N84" s="7"/>
      <c r="O84" s="6"/>
    </row>
    <row r="85" ht="28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 t="str">
        <f t="shared" si="2"/>
        <v/>
      </c>
      <c r="N85" s="7"/>
      <c r="O85" s="6"/>
    </row>
    <row r="86" ht="28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 t="str">
        <f t="shared" si="2"/>
        <v/>
      </c>
      <c r="N86" s="7"/>
      <c r="O86" s="6"/>
    </row>
    <row r="87" ht="28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 t="str">
        <f t="shared" si="2"/>
        <v/>
      </c>
      <c r="N87" s="7"/>
      <c r="O87" s="6"/>
    </row>
    <row r="88" ht="28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 t="str">
        <f t="shared" si="2"/>
        <v/>
      </c>
      <c r="N88" s="7"/>
      <c r="O88" s="6"/>
    </row>
    <row r="89" ht="28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 t="str">
        <f t="shared" si="2"/>
        <v/>
      </c>
      <c r="N89" s="7"/>
      <c r="O89" s="6"/>
    </row>
    <row r="90" ht="28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 t="str">
        <f t="shared" si="2"/>
        <v/>
      </c>
      <c r="N90" s="7"/>
      <c r="O90" s="6"/>
    </row>
    <row r="91" ht="28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 t="str">
        <f t="shared" si="2"/>
        <v/>
      </c>
      <c r="N91" s="7"/>
      <c r="O91" s="6"/>
    </row>
    <row r="92" ht="28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 t="str">
        <f t="shared" si="2"/>
        <v/>
      </c>
      <c r="N92" s="7"/>
      <c r="O92" s="6"/>
    </row>
    <row r="93" ht="28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 t="str">
        <f t="shared" si="2"/>
        <v/>
      </c>
      <c r="N93" s="7"/>
      <c r="O93" s="6"/>
    </row>
    <row r="94" ht="28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 t="str">
        <f t="shared" si="2"/>
        <v/>
      </c>
      <c r="N94" s="7"/>
      <c r="O94" s="6"/>
    </row>
    <row r="95" ht="28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 t="str">
        <f t="shared" si="2"/>
        <v/>
      </c>
      <c r="N95" s="7"/>
      <c r="O95" s="6"/>
    </row>
    <row r="96" ht="28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 t="str">
        <f t="shared" si="2"/>
        <v/>
      </c>
      <c r="N96" s="7"/>
      <c r="O96" s="6"/>
    </row>
    <row r="97" ht="28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 t="str">
        <f t="shared" si="2"/>
        <v/>
      </c>
      <c r="N97" s="7"/>
      <c r="O97" s="6"/>
    </row>
    <row r="98" ht="28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 t="str">
        <f t="shared" si="2"/>
        <v/>
      </c>
      <c r="N98" s="7"/>
      <c r="O98" s="6"/>
    </row>
    <row r="99" ht="28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 t="str">
        <f t="shared" si="2"/>
        <v/>
      </c>
      <c r="N99" s="7"/>
      <c r="O99" s="6"/>
    </row>
    <row r="100" ht="28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 t="str">
        <f t="shared" ref="M100:M157" si="3">IF(A100="","",IF(OR(F100="ALTERADA / BLOQUEO",L100="PENDIENTE VACUNACIÓN / BLOQUEO",G100="POSITIVO",H100="POSITIVO",I100="POSITIVO",J100="POSITIVO",K100="POSITIVO"),"BLOQUEADO",IF(AND(OR(F100="OK",F100="NO PRECISA"),OR(L100="OK",L100="NO PRECISA"),OR(G100="NEGATIVO",G100="POSITIVO - TRATADO",G100="NO PRECISA"),OR(H100="NEGATIVO",H100="POSITIVO - TRATADO",H100="NO PRECISA"),OR(I100="NEGATIVO",I100="NO PRECISA"),OR(J100="NEGATIVO",J100="NO PRECISA"),OR(K100="NEGATIVO",K100="NO PRECISA")),"OK FARMACIA","EN VIGILANCIA")))</f>
        <v/>
      </c>
      <c r="N100" s="7"/>
      <c r="O100" s="6"/>
    </row>
    <row r="101" ht="28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 t="str">
        <f t="shared" si="3"/>
        <v/>
      </c>
      <c r="N101" s="7"/>
      <c r="O101" s="6"/>
    </row>
    <row r="102" ht="28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 t="str">
        <f t="shared" si="3"/>
        <v/>
      </c>
      <c r="N102" s="7"/>
      <c r="O102" s="6"/>
    </row>
    <row r="103" ht="28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 t="str">
        <f t="shared" si="3"/>
        <v/>
      </c>
      <c r="N103" s="7"/>
      <c r="O103" s="6"/>
    </row>
    <row r="104" ht="28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 t="str">
        <f t="shared" si="3"/>
        <v/>
      </c>
      <c r="N104" s="7"/>
      <c r="O104" s="6"/>
    </row>
    <row r="105" ht="28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 t="str">
        <f t="shared" si="3"/>
        <v/>
      </c>
      <c r="N105" s="7"/>
      <c r="O105" s="6"/>
    </row>
    <row r="106" ht="28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 t="str">
        <f t="shared" si="3"/>
        <v/>
      </c>
      <c r="N106" s="7"/>
      <c r="O106" s="6"/>
    </row>
    <row r="107" ht="28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 t="str">
        <f t="shared" si="3"/>
        <v/>
      </c>
      <c r="N107" s="7"/>
      <c r="O107" s="6"/>
    </row>
    <row r="108" ht="28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 t="str">
        <f t="shared" si="3"/>
        <v/>
      </c>
      <c r="N108" s="7"/>
      <c r="O108" s="6"/>
    </row>
    <row r="109" ht="28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 t="str">
        <f t="shared" si="3"/>
        <v/>
      </c>
      <c r="N109" s="7"/>
      <c r="O109" s="6"/>
    </row>
    <row r="110" ht="28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 t="str">
        <f t="shared" si="3"/>
        <v/>
      </c>
      <c r="N110" s="7"/>
      <c r="O110" s="6"/>
    </row>
    <row r="111" ht="28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 t="str">
        <f t="shared" si="3"/>
        <v/>
      </c>
      <c r="N111" s="7"/>
      <c r="O111" s="6"/>
    </row>
    <row r="112" ht="28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 t="str">
        <f t="shared" si="3"/>
        <v/>
      </c>
      <c r="N112" s="7"/>
      <c r="O112" s="6"/>
    </row>
    <row r="113" ht="28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 t="str">
        <f t="shared" si="3"/>
        <v/>
      </c>
      <c r="N113" s="7"/>
      <c r="O113" s="6"/>
    </row>
    <row r="114" ht="28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 t="str">
        <f t="shared" si="3"/>
        <v/>
      </c>
      <c r="N114" s="7"/>
      <c r="O114" s="6"/>
    </row>
    <row r="115" ht="28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 t="str">
        <f t="shared" si="3"/>
        <v/>
      </c>
      <c r="N115" s="7"/>
      <c r="O115" s="6"/>
    </row>
    <row r="116" ht="28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 t="str">
        <f t="shared" si="3"/>
        <v/>
      </c>
      <c r="N116" s="7"/>
      <c r="O116" s="6"/>
    </row>
    <row r="117" ht="28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 t="str">
        <f t="shared" si="3"/>
        <v/>
      </c>
      <c r="N117" s="7"/>
      <c r="O117" s="6"/>
    </row>
    <row r="118" ht="28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 t="str">
        <f t="shared" si="3"/>
        <v/>
      </c>
      <c r="N118" s="7"/>
      <c r="O118" s="6"/>
    </row>
    <row r="119" ht="28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 t="str">
        <f t="shared" si="3"/>
        <v/>
      </c>
      <c r="N119" s="7"/>
      <c r="O119" s="6"/>
    </row>
    <row r="120" ht="28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 t="str">
        <f t="shared" si="3"/>
        <v/>
      </c>
      <c r="N120" s="7"/>
      <c r="O120" s="6"/>
    </row>
    <row r="121" ht="28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 t="str">
        <f t="shared" si="3"/>
        <v/>
      </c>
      <c r="N121" s="7"/>
      <c r="O121" s="6"/>
    </row>
    <row r="122" ht="28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 t="str">
        <f t="shared" si="3"/>
        <v/>
      </c>
      <c r="N122" s="7"/>
      <c r="O122" s="6"/>
    </row>
    <row r="123" ht="28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 t="str">
        <f t="shared" si="3"/>
        <v/>
      </c>
      <c r="N123" s="7"/>
      <c r="O123" s="6"/>
    </row>
    <row r="124" ht="28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 t="str">
        <f t="shared" si="3"/>
        <v/>
      </c>
      <c r="N124" s="7"/>
      <c r="O124" s="6"/>
    </row>
    <row r="125" ht="28" customHeight="1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 t="str">
        <f t="shared" si="3"/>
        <v/>
      </c>
      <c r="N125" s="7"/>
      <c r="O125" s="6"/>
    </row>
    <row r="126" ht="28" customHeight="1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 t="str">
        <f t="shared" si="3"/>
        <v/>
      </c>
      <c r="N126" s="7"/>
      <c r="O126" s="6"/>
    </row>
    <row r="127" ht="28" customHeight="1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 t="str">
        <f t="shared" si="3"/>
        <v/>
      </c>
      <c r="N127" s="7"/>
      <c r="O127" s="6"/>
    </row>
    <row r="128" ht="28" customHeight="1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 t="str">
        <f t="shared" si="3"/>
        <v/>
      </c>
      <c r="N128" s="7"/>
      <c r="O128" s="6"/>
    </row>
    <row r="129" ht="28" customHeight="1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 t="str">
        <f t="shared" si="3"/>
        <v/>
      </c>
      <c r="N129" s="7"/>
      <c r="O129" s="6"/>
    </row>
    <row r="130" ht="28" customHeight="1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 t="str">
        <f t="shared" si="3"/>
        <v/>
      </c>
      <c r="N130" s="7"/>
      <c r="O130" s="6"/>
    </row>
    <row r="131" ht="28" customHeight="1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 t="str">
        <f t="shared" si="3"/>
        <v/>
      </c>
      <c r="N131" s="7"/>
      <c r="O131" s="6"/>
    </row>
    <row r="132" ht="28" customHeight="1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 t="str">
        <f t="shared" si="3"/>
        <v/>
      </c>
      <c r="N132" s="7"/>
      <c r="O132" s="6"/>
    </row>
    <row r="133" ht="28" customHeight="1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 t="str">
        <f t="shared" si="3"/>
        <v/>
      </c>
      <c r="N133" s="7"/>
      <c r="O133" s="6"/>
    </row>
    <row r="134" ht="28" customHeight="1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 t="str">
        <f t="shared" si="3"/>
        <v/>
      </c>
      <c r="N134" s="7"/>
      <c r="O134" s="6"/>
    </row>
    <row r="135" ht="28" customHeight="1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 t="str">
        <f t="shared" si="3"/>
        <v/>
      </c>
      <c r="N135" s="7"/>
      <c r="O135" s="6"/>
    </row>
    <row r="136" ht="28" customHeight="1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 t="str">
        <f t="shared" si="3"/>
        <v/>
      </c>
      <c r="N136" s="7"/>
      <c r="O136" s="6"/>
    </row>
    <row r="137" ht="28" customHeight="1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 t="str">
        <f t="shared" si="3"/>
        <v/>
      </c>
      <c r="N137" s="7"/>
      <c r="O137" s="6"/>
    </row>
    <row r="138" ht="28" customHeight="1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 t="str">
        <f t="shared" si="3"/>
        <v/>
      </c>
      <c r="N138" s="7"/>
      <c r="O138" s="6"/>
    </row>
    <row r="139" ht="28" customHeight="1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 t="str">
        <f t="shared" si="3"/>
        <v/>
      </c>
      <c r="N139" s="7"/>
      <c r="O139" s="6"/>
    </row>
    <row r="140" ht="28" customHeight="1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 t="str">
        <f t="shared" si="3"/>
        <v/>
      </c>
      <c r="N140" s="7"/>
      <c r="O140" s="6"/>
    </row>
    <row r="141" ht="28" customHeight="1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 t="str">
        <f t="shared" si="3"/>
        <v/>
      </c>
      <c r="N141" s="7"/>
      <c r="O141" s="6"/>
    </row>
    <row r="142" ht="28" customHeight="1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 t="str">
        <f t="shared" si="3"/>
        <v/>
      </c>
      <c r="N142" s="7"/>
      <c r="O142" s="6"/>
    </row>
    <row r="143" ht="28" customHeight="1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 t="str">
        <f t="shared" si="3"/>
        <v/>
      </c>
      <c r="N143" s="7"/>
      <c r="O143" s="6"/>
    </row>
    <row r="144" ht="28" customHeight="1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 t="str">
        <f t="shared" si="3"/>
        <v/>
      </c>
      <c r="N144" s="7"/>
      <c r="O144" s="6"/>
    </row>
    <row r="145" ht="28" customHeight="1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 t="str">
        <f t="shared" si="3"/>
        <v/>
      </c>
      <c r="N145" s="7"/>
      <c r="O145" s="6"/>
    </row>
    <row r="146" ht="28" customHeight="1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 t="str">
        <f t="shared" si="3"/>
        <v/>
      </c>
      <c r="N146" s="7"/>
      <c r="O146" s="6"/>
    </row>
    <row r="147" ht="28" customHeight="1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 t="str">
        <f t="shared" si="3"/>
        <v/>
      </c>
      <c r="N147" s="7"/>
      <c r="O147" s="6"/>
    </row>
    <row r="148" ht="28" customHeight="1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 t="str">
        <f t="shared" si="3"/>
        <v/>
      </c>
      <c r="N148" s="7"/>
      <c r="O148" s="6"/>
    </row>
    <row r="149" ht="28" customHeight="1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 t="str">
        <f t="shared" si="3"/>
        <v/>
      </c>
      <c r="N149" s="7"/>
      <c r="O149" s="6"/>
    </row>
    <row r="150" ht="28" customHeight="1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 t="str">
        <f t="shared" si="3"/>
        <v/>
      </c>
      <c r="N150" s="7"/>
      <c r="O150" s="6"/>
    </row>
    <row r="151" ht="28" customHeight="1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 t="str">
        <f t="shared" si="3"/>
        <v/>
      </c>
      <c r="N151" s="7"/>
      <c r="O151" s="6"/>
    </row>
    <row r="152" ht="28" customHeight="1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 t="str">
        <f t="shared" si="3"/>
        <v/>
      </c>
      <c r="N152" s="7"/>
      <c r="O152" s="6"/>
    </row>
    <row r="153" ht="28" customHeight="1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 t="str">
        <f t="shared" si="3"/>
        <v/>
      </c>
      <c r="N153" s="7"/>
      <c r="O153" s="6"/>
    </row>
    <row r="154" ht="28" customHeight="1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 t="str">
        <f t="shared" si="3"/>
        <v/>
      </c>
      <c r="N154" s="7"/>
      <c r="O154" s="6"/>
    </row>
    <row r="155" ht="28" customHeight="1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 t="str">
        <f t="shared" si="3"/>
        <v/>
      </c>
      <c r="N155" s="7"/>
      <c r="O155" s="6"/>
    </row>
    <row r="156" ht="28" customHeight="1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 t="str">
        <f t="shared" si="3"/>
        <v/>
      </c>
      <c r="N156" s="7"/>
      <c r="O156" s="6"/>
    </row>
    <row r="157" ht="28" customHeight="1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 t="str">
        <f t="shared" si="3"/>
        <v/>
      </c>
      <c r="N157" s="7"/>
      <c r="O157" s="6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mergeCells count="2">
    <mergeCell ref="A1:O1"/>
    <mergeCell ref="A2:O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8FD945B-23CF-4E54-A541-FEF7588A073E}">
            <xm:f>OR(F5="OK",F5="NEGATIVO",F5="NO PRECISA",F5="POSITIVO - TRATADO",F5="OK FARMACIA")</xm:f>
            <x14:dxf>
              <font>
                <b/>
                <color rgb="FF163A2A"/>
              </font>
              <fill>
                <patternFill patternType="solid">
                  <fgColor rgb="FFDDEFE5"/>
                  <bgColor rgb="FFDDEFE5"/>
                </patternFill>
              </fill>
            </x14:dxf>
          </x14:cfRule>
          <xm:sqref>F5:F157</xm:sqref>
        </x14:conditionalFormatting>
        <x14:conditionalFormatting xmlns:xm="http://schemas.microsoft.com/office/excel/2006/main">
          <x14:cfRule type="expression" priority="2" id="{17EB6560-AAA0-453F-B2F9-4DA1A162FBE7}">
            <xm:f>OR(F5="PENDIENTE",F5="SOLICITADA",F5="CITADO",F5="EN VIGILANCIA")</xm:f>
            <x14:dxf>
              <font>
                <b/>
                <color rgb="FF1F2D3A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F5:F157</xm:sqref>
        </x14:conditionalFormatting>
        <x14:conditionalFormatting xmlns:xm="http://schemas.microsoft.com/office/excel/2006/main">
          <x14:cfRule type="expression" priority="3" id="{506A4E60-4550-4F20-A2E2-B0CE2CC15CF2}">
            <xm:f>OR(F5="ALTERADA / BLOQUEO",F5="POSITIVO",F5="PENDIENTE VACUNACIÓN / BLOQUEO",F5="BLOQUEADO")</xm:f>
            <x14:dxf>
              <font>
                <b/>
                <color rgb="FF7A1F1F"/>
              </font>
              <fill>
                <patternFill patternType="solid">
                  <fgColor rgb="FFFCE4E4"/>
                  <bgColor rgb="FFFCE4E4"/>
                </patternFill>
              </fill>
            </x14:dxf>
          </x14:cfRule>
          <xm:sqref>F5:F157</xm:sqref>
        </x14:conditionalFormatting>
        <x14:conditionalFormatting xmlns:xm="http://schemas.microsoft.com/office/excel/2006/main">
          <x14:cfRule type="expression" priority="4" id="{6EB89315-5851-4AFD-8CBA-EF836F9EE056}">
            <xm:f>OR(G5="OK",G5="NEGATIVO",G5="NO PRECISA",G5="POSITIVO - TRATADO",G5="OK FARMACIA")</xm:f>
            <x14:dxf>
              <font>
                <b/>
                <color rgb="FF163A2A"/>
              </font>
              <fill>
                <patternFill patternType="solid">
                  <fgColor rgb="FFDDEFE5"/>
                  <bgColor rgb="FFDDEFE5"/>
                </patternFill>
              </fill>
            </x14:dxf>
          </x14:cfRule>
          <xm:sqref>G5:H157</xm:sqref>
        </x14:conditionalFormatting>
        <x14:conditionalFormatting xmlns:xm="http://schemas.microsoft.com/office/excel/2006/main">
          <x14:cfRule type="expression" priority="5" id="{0C1B87AF-7CB7-45C1-8FEA-D89D20F49EC8}">
            <xm:f>OR(G5="PENDIENTE",G5="SOLICITADA",G5="CITADO",G5="EN VIGILANCIA")</xm:f>
            <x14:dxf>
              <font>
                <b/>
                <color rgb="FF1F2D3A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G5:H157</xm:sqref>
        </x14:conditionalFormatting>
        <x14:conditionalFormatting xmlns:xm="http://schemas.microsoft.com/office/excel/2006/main">
          <x14:cfRule type="expression" priority="6" id="{B5EA1E13-531A-4D92-B709-6D0B4700B5D8}">
            <xm:f>OR(G5="ALTERADA / BLOQUEO",G5="POSITIVO",G5="PENDIENTE VACUNACIÓN / BLOQUEO",G5="BLOQUEADO")</xm:f>
            <x14:dxf>
              <font>
                <b/>
                <color rgb="FF7A1F1F"/>
              </font>
              <fill>
                <patternFill patternType="solid">
                  <fgColor rgb="FFFCE4E4"/>
                  <bgColor rgb="FFFCE4E4"/>
                </patternFill>
              </fill>
            </x14:dxf>
          </x14:cfRule>
          <xm:sqref>G5:H157</xm:sqref>
        </x14:conditionalFormatting>
        <x14:conditionalFormatting xmlns:xm="http://schemas.microsoft.com/office/excel/2006/main">
          <x14:cfRule type="expression" priority="7" id="{4DEEF826-ECBA-41DF-941F-1BD807D6C647}">
            <xm:f>OR(I5="OK",I5="NEGATIVO",I5="NO PRECISA",I5="POSITIVO - TRATADO",I5="OK FARMACIA")</xm:f>
            <x14:dxf>
              <font>
                <b/>
                <color rgb="FF163A2A"/>
              </font>
              <fill>
                <patternFill patternType="solid">
                  <fgColor rgb="FFDDEFE5"/>
                  <bgColor rgb="FFDDEFE5"/>
                </patternFill>
              </fill>
            </x14:dxf>
          </x14:cfRule>
          <xm:sqref>I5:K157</xm:sqref>
        </x14:conditionalFormatting>
        <x14:conditionalFormatting xmlns:xm="http://schemas.microsoft.com/office/excel/2006/main">
          <x14:cfRule type="expression" priority="8" id="{CB101286-317A-4C9B-B14E-CDA9ABF26413}">
            <xm:f>OR(I5="PENDIENTE",I5="SOLICITADA",I5="CITADO",I5="EN VIGILANCIA")</xm:f>
            <x14:dxf>
              <font>
                <b/>
                <color rgb="FF1F2D3A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I5:K157</xm:sqref>
        </x14:conditionalFormatting>
        <x14:conditionalFormatting xmlns:xm="http://schemas.microsoft.com/office/excel/2006/main">
          <x14:cfRule type="expression" priority="9" id="{129E4640-CC46-4240-9164-3483C5F27F35}">
            <xm:f>OR(I5="ALTERADA / BLOQUEO",I5="POSITIVO",I5="PENDIENTE VACUNACIÓN / BLOQUEO",I5="BLOQUEADO")</xm:f>
            <x14:dxf>
              <font>
                <b/>
                <color rgb="FF7A1F1F"/>
              </font>
              <fill>
                <patternFill patternType="solid">
                  <fgColor rgb="FFFCE4E4"/>
                  <bgColor rgb="FFFCE4E4"/>
                </patternFill>
              </fill>
            </x14:dxf>
          </x14:cfRule>
          <xm:sqref>I5:K157</xm:sqref>
        </x14:conditionalFormatting>
        <x14:conditionalFormatting xmlns:xm="http://schemas.microsoft.com/office/excel/2006/main">
          <x14:cfRule type="expression" priority="10" id="{16E1386B-E261-4B3C-8A6B-12E65A8AE349}">
            <xm:f>OR(L5="OK",L5="NEGATIVO",L5="NO PRECISA",L5="POSITIVO - TRATADO",L5="OK FARMACIA")</xm:f>
            <x14:dxf>
              <font>
                <b/>
                <color rgb="FF163A2A"/>
              </font>
              <fill>
                <patternFill patternType="solid">
                  <fgColor rgb="FFDDEFE5"/>
                  <bgColor rgb="FFDDEFE5"/>
                </patternFill>
              </fill>
            </x14:dxf>
          </x14:cfRule>
          <xm:sqref>L5:L157</xm:sqref>
        </x14:conditionalFormatting>
        <x14:conditionalFormatting xmlns:xm="http://schemas.microsoft.com/office/excel/2006/main">
          <x14:cfRule type="expression" priority="11" id="{D61588A4-3CDF-46EF-9C7B-A78274FD26A9}">
            <xm:f>OR(L5="PENDIENTE",L5="SOLICITADA",L5="CITADO",L5="EN VIGILANCIA")</xm:f>
            <x14:dxf>
              <font>
                <b/>
                <color rgb="FF1F2D3A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L5:L157</xm:sqref>
        </x14:conditionalFormatting>
        <x14:conditionalFormatting xmlns:xm="http://schemas.microsoft.com/office/excel/2006/main">
          <x14:cfRule type="expression" priority="12" id="{89390221-8094-48E0-A250-729CDE6C9E6D}">
            <xm:f>OR(L5="ALTERADA / BLOQUEO",L5="POSITIVO",L5="PENDIENTE VACUNACIÓN / BLOQUEO",L5="BLOQUEADO")</xm:f>
            <x14:dxf>
              <font>
                <b/>
                <color rgb="FF7A1F1F"/>
              </font>
              <fill>
                <patternFill patternType="solid">
                  <fgColor rgb="FFFCE4E4"/>
                  <bgColor rgb="FFFCE4E4"/>
                </patternFill>
              </fill>
            </x14:dxf>
          </x14:cfRule>
          <xm:sqref>L5:L157</xm:sqref>
        </x14:conditionalFormatting>
        <x14:conditionalFormatting xmlns:xm="http://schemas.microsoft.com/office/excel/2006/main">
          <x14:cfRule type="expression" priority="13" id="{B1E57873-B03E-4B03-93B0-9808396E8477}">
            <xm:f>OR(M5="OK",M5="NEGATIVO",M5="NO PRECISA",M5="POSITIVO - TRATADO",M5="OK FARMACIA")</xm:f>
            <x14:dxf>
              <font>
                <b/>
                <color rgb="FF163A2A"/>
              </font>
              <fill>
                <patternFill patternType="solid">
                  <fgColor rgb="FFDDEFE5"/>
                  <bgColor rgb="FFDDEFE5"/>
                </patternFill>
              </fill>
            </x14:dxf>
          </x14:cfRule>
          <xm:sqref>M5:M157</xm:sqref>
        </x14:conditionalFormatting>
        <x14:conditionalFormatting xmlns:xm="http://schemas.microsoft.com/office/excel/2006/main">
          <x14:cfRule type="expression" priority="14" id="{1F83481A-338B-4D52-90E6-1BE402FFC97A}">
            <xm:f>OR(M5="PENDIENTE",M5="SOLICITADA",M5="CITADO",M5="EN VIGILANCIA")</xm:f>
            <x14:dxf>
              <font>
                <b/>
                <color rgb="FF1F2D3A"/>
              </font>
              <fill>
                <patternFill patternType="solid">
                  <fgColor rgb="FFFFF2CC"/>
                  <bgColor rgb="FFFFF2CC"/>
                </patternFill>
              </fill>
            </x14:dxf>
          </x14:cfRule>
          <xm:sqref>M5:M157</xm:sqref>
        </x14:conditionalFormatting>
        <x14:conditionalFormatting xmlns:xm="http://schemas.microsoft.com/office/excel/2006/main">
          <x14:cfRule type="expression" priority="15" id="{7D978C0C-00FC-4804-B07F-C111673D9D4C}">
            <xm:f>OR(M5="ALTERADA / BLOQUEO",M5="POSITIVO",M5="PENDIENTE VACUNACIÓN / BLOQUEO",M5="BLOQUEADO")</xm:f>
            <x14:dxf>
              <font>
                <b/>
                <color rgb="FF7A1F1F"/>
              </font>
              <fill>
                <patternFill patternType="solid">
                  <fgColor rgb="FFFCE4E4"/>
                  <bgColor rgb="FFFCE4E4"/>
                </patternFill>
              </fill>
            </x14:dxf>
          </x14:cfRule>
          <xm:sqref>M5:M157</xm:sqref>
        </x14:conditionalFormatting>
        <x14:conditionalFormatting xmlns:xm="http://schemas.microsoft.com/office/excel/2006/main">
          <x14:cfRule type="expression" priority="16" id="{E9A6B85A-5ACC-4B51-A8A9-3B274BEC9CEE}">
            <xm:f>$A5&lt;&gt;""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A5:E157</xm:sqref>
        </x14:conditionalFormatting>
        <x14:conditionalFormatting xmlns:xm="http://schemas.microsoft.com/office/excel/2006/main">
          <x14:cfRule type="expression" priority="17" id="{6E8BCD67-7D79-4051-930A-2A0247FA13E7}">
            <xm:f>$M5="OK FARMACIA"</xm:f>
            <x14:dxf>
              <fill>
                <patternFill patternType="solid">
                  <fgColor rgb="FFDDEFE5"/>
                  <bgColor rgb="FFDDEFE5"/>
                </patternFill>
              </fill>
            </x14:dxf>
          </x14:cfRule>
          <xm:sqref>N5:N157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75953AD0-7C23-430E-8067-1CB77C40ABC8}" type="list" allowBlank="0" errorStyle="stop" imeMode="noControl" operator="between" showDropDown="0" showErrorMessage="0" showInputMessage="0">
          <x14:formula1>
            <xm:f>"Derma,Reuma,Digestivo,Otro"</xm:f>
          </x14:formula1>
          <xm:sqref>C5:C157</xm:sqref>
        </x14:dataValidation>
        <x14:dataValidation xr:uid="{9547F444-490D-481B-9C50-E1A1F827B680}" type="list" allowBlank="0" errorStyle="stop" imeMode="noControl" operator="between" showDropDown="0" showErrorMessage="0" showInputMessage="0">
          <x14:formula1>
            <xm:f>"HS,Psoriasis,Dermatitis atópica,Vitíligo,Alopecia areata,EII,AR,Espondiloartritis,Artritis psoriásica,Otra"</xm:f>
          </x14:formula1>
          <xm:sqref>D5:D157</xm:sqref>
        </x14:dataValidation>
        <x14:dataValidation xr:uid="{F3D4D542-F229-4DAD-BD3B-A9478FD35592}" type="list" allowBlank="0" errorStyle="stop" imeMode="noControl" operator="between" showDropDown="0" showErrorMessage="0" showInputMessage="0">
          <x14:formula1>
            <xm:f>"PENDIENTE,SOLICITADA,OK,ALTERADA / BLOQUEO,NO PRECISA"</xm:f>
          </x14:formula1>
          <xm:sqref>F5:F157</xm:sqref>
        </x14:dataValidation>
        <x14:dataValidation xr:uid="{C01EC043-C4AE-479F-84E4-465D9E29302A}" type="list" allowBlank="0" errorStyle="stop" imeMode="noControl" operator="between" showDropDown="0" showErrorMessage="0" showInputMessage="0">
          <x14:formula1>
            <xm:f>"PENDIENTE,NEGATIVO,POSITIVO,POSITIVO - TRATADO,NO PRECISA"</xm:f>
          </x14:formula1>
          <xm:sqref>G5:H157</xm:sqref>
        </x14:dataValidation>
        <x14:dataValidation xr:uid="{2886AC3E-08BC-4DBB-9447-83C31B4BA09B}" type="list" allowBlank="0" errorStyle="stop" imeMode="noControl" operator="between" showDropDown="0" showErrorMessage="0" showInputMessage="0">
          <x14:formula1>
            <xm:f>"PENDIENTE,NEGATIVO,POSITIVO,NO PRECISA"</xm:f>
          </x14:formula1>
          <xm:sqref>I5:K157</xm:sqref>
        </x14:dataValidation>
        <x14:dataValidation xr:uid="{3C34A151-D4DF-4F59-A125-288A6AC75BD0}" type="list" allowBlank="0" errorStyle="stop" imeMode="noControl" operator="between" showDropDown="0" showErrorMessage="0" showInputMessage="0">
          <x14:formula1>
            <xm:f>"PENDIENTE,SOLICITADA,CITADO,OK,PENDIENTE VACUNACIÓN / BLOQUEO,NO PRECISA"</xm:f>
          </x14:formula1>
          <xm:sqref>L5:L157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"/>
    <col customWidth="1" min="2" max="2" width="18"/>
    <col customWidth="1" min="3" max="3" width="4"/>
    <col customWidth="1" min="4" max="8" width="14"/>
  </cols>
  <sheetData>
    <row r="1" ht="28" customHeight="1">
      <c r="A1" s="8" t="s">
        <v>42</v>
      </c>
      <c r="B1" s="8"/>
      <c r="C1" s="8"/>
      <c r="D1" s="8"/>
      <c r="E1" s="8"/>
      <c r="F1" s="8"/>
      <c r="G1" s="8"/>
      <c r="H1" s="8"/>
      <c r="I1" s="2"/>
      <c r="J1" s="2"/>
      <c r="K1" s="2"/>
      <c r="L1" s="2"/>
      <c r="M1" s="2"/>
      <c r="N1" s="2"/>
      <c r="O1" s="2"/>
    </row>
    <row r="2" ht="22" customHeight="1">
      <c r="A2" s="9" t="s">
        <v>43</v>
      </c>
      <c r="B2" s="9"/>
      <c r="C2" s="9"/>
      <c r="D2" s="9"/>
      <c r="E2" s="9"/>
      <c r="F2" s="9"/>
      <c r="G2" s="9"/>
      <c r="H2" s="9"/>
      <c r="I2" s="2"/>
      <c r="J2" s="2"/>
      <c r="K2" s="2"/>
      <c r="L2" s="2"/>
      <c r="M2" s="2"/>
      <c r="N2" s="2"/>
      <c r="O2" s="2"/>
    </row>
    <row r="3">
      <c r="A3" s="10"/>
      <c r="B3" s="1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6.5">
      <c r="A4" s="11" t="s">
        <v>44</v>
      </c>
      <c r="B4" s="12" t="s">
        <v>45</v>
      </c>
      <c r="C4" s="2"/>
      <c r="D4" s="11" t="s">
        <v>4</v>
      </c>
      <c r="E4" s="11" t="s">
        <v>46</v>
      </c>
      <c r="F4" s="11" t="s">
        <v>47</v>
      </c>
      <c r="G4" s="11" t="s">
        <v>48</v>
      </c>
      <c r="H4" s="11" t="s">
        <v>49</v>
      </c>
      <c r="I4" s="2"/>
      <c r="J4" s="2"/>
      <c r="K4" s="2"/>
      <c r="L4" s="2"/>
      <c r="M4" s="2"/>
      <c r="N4" s="2"/>
      <c r="O4" s="2"/>
    </row>
    <row r="5" ht="18.75">
      <c r="A5" s="13" t="s">
        <v>50</v>
      </c>
      <c r="B5" s="14">
        <f>COUNTIF(INICIO_BIOLOGICO!$A$5:$A$500,"&lt;&gt;")</f>
        <v>4</v>
      </c>
      <c r="C5" s="2"/>
      <c r="D5" s="15" t="s">
        <v>19</v>
      </c>
      <c r="E5" s="16">
        <f>COUNTIF(INICIO_BIOLOGICO!$C$5:$C$500,D5)</f>
        <v>2</v>
      </c>
      <c r="F5" s="17">
        <f>COUNTIFS(INICIO_BIOLOGICO!$C$5:$C$500,D5,INICIO_BIOLOGICO!$M$5:$M$500,"OK FARMACIA")</f>
        <v>0</v>
      </c>
      <c r="G5" s="18">
        <f>COUNTIFS(INICIO_BIOLOGICO!$C$5:$C$500,D5,INICIO_BIOLOGICO!$M$5:$M$500,"EN VIGILANCIA")</f>
        <v>1</v>
      </c>
      <c r="H5" s="19">
        <f>COUNTIFS(INICIO_BIOLOGICO!$C$5:$C$500,D5,INICIO_BIOLOGICO!$M$5:$M$500,"BLOQUEADO")</f>
        <v>1</v>
      </c>
      <c r="I5" s="2"/>
      <c r="J5" s="2"/>
      <c r="K5" s="2"/>
      <c r="L5" s="2"/>
      <c r="M5" s="2"/>
      <c r="N5" s="2"/>
      <c r="O5" s="2"/>
    </row>
    <row r="6" ht="18.75">
      <c r="A6" s="13" t="s">
        <v>47</v>
      </c>
      <c r="B6" s="14">
        <f>COUNTIF(INICIO_BIOLOGICO!$M$5:$M$500,"OK FARMACIA")</f>
        <v>1</v>
      </c>
      <c r="C6" s="2"/>
      <c r="D6" s="15" t="s">
        <v>34</v>
      </c>
      <c r="E6" s="16">
        <f>COUNTIF(INICIO_BIOLOGICO!$C$5:$C$500,D6)</f>
        <v>1</v>
      </c>
      <c r="F6" s="17">
        <f>COUNTIFS(INICIO_BIOLOGICO!$C$5:$C$500,D6,INICIO_BIOLOGICO!$M$5:$M$500,"OK FARMACIA")</f>
        <v>1</v>
      </c>
      <c r="G6" s="18">
        <f>COUNTIFS(INICIO_BIOLOGICO!$C$5:$C$500,D6,INICIO_BIOLOGICO!$M$5:$M$500,"EN VIGILANCIA")</f>
        <v>0</v>
      </c>
      <c r="H6" s="19">
        <f>COUNTIFS(INICIO_BIOLOGICO!$C$5:$C$500,D6,INICIO_BIOLOGICO!$M$5:$M$500,"BLOQUEADO")</f>
        <v>0</v>
      </c>
      <c r="I6" s="2"/>
      <c r="J6" s="2"/>
      <c r="K6" s="2"/>
      <c r="L6" s="2"/>
      <c r="M6" s="2"/>
      <c r="N6" s="2"/>
      <c r="O6" s="2"/>
    </row>
    <row r="7" ht="18.75">
      <c r="A7" s="13" t="s">
        <v>48</v>
      </c>
      <c r="B7" s="14">
        <f>COUNTIF(INICIO_BIOLOGICO!$M$5:$M$500,"EN VIGILANCIA")</f>
        <v>2</v>
      </c>
      <c r="C7" s="2"/>
      <c r="D7" s="15" t="s">
        <v>39</v>
      </c>
      <c r="E7" s="16">
        <f>COUNTIF(INICIO_BIOLOGICO!$C$5:$C$500,D7)</f>
        <v>1</v>
      </c>
      <c r="F7" s="17">
        <f>COUNTIFS(INICIO_BIOLOGICO!$C$5:$C$500,D7,INICIO_BIOLOGICO!$M$5:$M$500,"OK FARMACIA")</f>
        <v>0</v>
      </c>
      <c r="G7" s="18">
        <f>COUNTIFS(INICIO_BIOLOGICO!$C$5:$C$500,D7,INICIO_BIOLOGICO!$M$5:$M$500,"EN VIGILANCIA")</f>
        <v>1</v>
      </c>
      <c r="H7" s="19">
        <f>COUNTIFS(INICIO_BIOLOGICO!$C$5:$C$500,D7,INICIO_BIOLOGICO!$M$5:$M$500,"BLOQUEADO")</f>
        <v>0</v>
      </c>
      <c r="I7" s="2"/>
      <c r="J7" s="2"/>
      <c r="K7" s="2"/>
      <c r="L7" s="2"/>
      <c r="M7" s="2"/>
      <c r="N7" s="2"/>
      <c r="O7" s="2"/>
    </row>
    <row r="8" ht="18.75">
      <c r="A8" s="20" t="s">
        <v>49</v>
      </c>
      <c r="B8" s="14">
        <f>COUNTIF(INICIO_BIOLOGICO!$M$5:$M$500,"BLOQUEADO")</f>
        <v>1</v>
      </c>
      <c r="C8" s="2"/>
      <c r="D8" s="15" t="s">
        <v>51</v>
      </c>
      <c r="E8" s="16">
        <f>COUNTIF(INICIO_BIOLOGICO!$C$5:$C$500,D8)</f>
        <v>0</v>
      </c>
      <c r="F8" s="17">
        <f>COUNTIFS(INICIO_BIOLOGICO!$C$5:$C$500,D8,INICIO_BIOLOGICO!$M$5:$M$500,"OK FARMACIA")</f>
        <v>0</v>
      </c>
      <c r="G8" s="18">
        <f>COUNTIFS(INICIO_BIOLOGICO!$C$5:$C$500,D8,INICIO_BIOLOGICO!$M$5:$M$500,"EN VIGILANCIA")</f>
        <v>0</v>
      </c>
      <c r="H8" s="19">
        <f>COUNTIFS(INICIO_BIOLOGICO!$C$5:$C$500,D8,INICIO_BIOLOGICO!$M$5:$M$500,"BLOQUEADO")</f>
        <v>0</v>
      </c>
      <c r="I8" s="2"/>
      <c r="J8" s="2"/>
      <c r="K8" s="2"/>
      <c r="L8" s="2"/>
      <c r="M8" s="2"/>
      <c r="N8" s="2"/>
      <c r="O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23.600000000000001" customHeight="1">
      <c r="A10" s="21" t="s">
        <v>52</v>
      </c>
      <c r="B10" s="22"/>
      <c r="C10" s="21"/>
      <c r="D10" s="21"/>
      <c r="E10" s="21"/>
      <c r="F10" s="21"/>
      <c r="G10" s="21"/>
      <c r="H10" s="21"/>
      <c r="I10" s="2"/>
      <c r="J10" s="2"/>
      <c r="K10" s="2"/>
      <c r="L10" s="2"/>
      <c r="M10" s="2"/>
      <c r="N10" s="2"/>
      <c r="O10" s="2"/>
    </row>
    <row r="11" ht="28" customHeight="1">
      <c r="A11" s="23" t="s">
        <v>53</v>
      </c>
      <c r="B11" s="24" t="s">
        <v>54</v>
      </c>
      <c r="C11" s="24"/>
      <c r="D11" s="24"/>
      <c r="E11" s="24"/>
      <c r="F11" s="24"/>
      <c r="G11" s="24"/>
      <c r="H11" s="24"/>
      <c r="I11" s="2"/>
      <c r="J11" s="2"/>
      <c r="K11" s="2"/>
      <c r="L11" s="2"/>
      <c r="M11" s="2"/>
      <c r="N11" s="2"/>
      <c r="O11" s="2"/>
    </row>
    <row r="12" ht="28" customHeight="1">
      <c r="A12" s="23" t="s">
        <v>55</v>
      </c>
      <c r="B12" s="24" t="s">
        <v>56</v>
      </c>
      <c r="C12" s="24"/>
      <c r="D12" s="24"/>
      <c r="E12" s="24"/>
      <c r="F12" s="24"/>
      <c r="G12" s="24"/>
      <c r="H12" s="24"/>
      <c r="I12" s="2"/>
      <c r="J12" s="2"/>
      <c r="K12" s="2"/>
      <c r="L12" s="2"/>
      <c r="M12" s="2"/>
      <c r="N12" s="2"/>
      <c r="O12" s="2"/>
    </row>
    <row r="13" ht="28" customHeight="1">
      <c r="A13" s="23" t="s">
        <v>57</v>
      </c>
      <c r="B13" s="24" t="s">
        <v>58</v>
      </c>
      <c r="C13" s="24"/>
      <c r="D13" s="24"/>
      <c r="E13" s="24"/>
      <c r="F13" s="24"/>
      <c r="G13" s="24"/>
      <c r="H13" s="24"/>
      <c r="I13" s="2"/>
      <c r="J13" s="2"/>
      <c r="K13" s="2"/>
      <c r="L13" s="2"/>
      <c r="M13" s="2"/>
      <c r="N13" s="2"/>
      <c r="O13" s="2"/>
    </row>
    <row r="14" ht="28" customHeight="1">
      <c r="A14" s="23" t="s">
        <v>59</v>
      </c>
      <c r="B14" s="24" t="s">
        <v>60</v>
      </c>
      <c r="C14" s="24"/>
      <c r="D14" s="24"/>
      <c r="E14" s="24"/>
      <c r="F14" s="24"/>
      <c r="G14" s="24"/>
      <c r="H14" s="24"/>
      <c r="I14" s="2"/>
      <c r="J14" s="2"/>
      <c r="K14" s="2"/>
      <c r="L14" s="2"/>
      <c r="M14" s="2"/>
      <c r="N14" s="2"/>
      <c r="O14" s="2"/>
    </row>
    <row r="15" ht="28" customHeight="1">
      <c r="A15" s="25" t="s">
        <v>61</v>
      </c>
      <c r="B15" s="24" t="s">
        <v>62</v>
      </c>
      <c r="C15" s="24"/>
      <c r="D15" s="24"/>
      <c r="E15" s="24"/>
      <c r="F15" s="24"/>
      <c r="G15" s="24"/>
      <c r="H15" s="24"/>
      <c r="I15" s="2"/>
      <c r="J15" s="2"/>
      <c r="K15" s="2"/>
      <c r="L15" s="2"/>
      <c r="M15" s="2"/>
      <c r="N15" s="2"/>
      <c r="O15" s="2"/>
    </row>
    <row r="16" ht="28" customHeight="1">
      <c r="A16" s="26"/>
      <c r="B16" s="24" t="s">
        <v>63</v>
      </c>
      <c r="C16" s="24"/>
      <c r="D16" s="24"/>
      <c r="E16" s="24"/>
      <c r="F16" s="24"/>
      <c r="G16" s="24"/>
      <c r="H16" s="27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</sheetData>
  <mergeCells count="9">
    <mergeCell ref="A1:H1"/>
    <mergeCell ref="A2:H2"/>
    <mergeCell ref="A10:H10"/>
    <mergeCell ref="B11:H11"/>
    <mergeCell ref="B12:H12"/>
    <mergeCell ref="B13:H13"/>
    <mergeCell ref="B14:H14"/>
    <mergeCell ref="B15:H15"/>
    <mergeCell ref="B16:G1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6" width="28"/>
  </cols>
  <sheetData>
    <row r="1">
      <c r="A1" s="28" t="s">
        <v>4</v>
      </c>
      <c r="B1" s="28" t="s">
        <v>5</v>
      </c>
      <c r="C1" s="28" t="s">
        <v>7</v>
      </c>
      <c r="D1" s="28" t="s">
        <v>64</v>
      </c>
      <c r="E1" s="28" t="s">
        <v>65</v>
      </c>
      <c r="F1" s="28" t="s">
        <v>66</v>
      </c>
      <c r="G1" s="2"/>
      <c r="H1" s="2"/>
      <c r="I1" s="2"/>
      <c r="J1" s="2"/>
      <c r="K1" s="2"/>
      <c r="L1" s="2"/>
      <c r="M1" s="2"/>
      <c r="N1" s="2"/>
      <c r="O1" s="2"/>
    </row>
    <row r="2">
      <c r="A2" s="2" t="s">
        <v>19</v>
      </c>
      <c r="B2" s="2" t="s">
        <v>20</v>
      </c>
      <c r="C2" s="2" t="s">
        <v>25</v>
      </c>
      <c r="D2" s="2" t="s">
        <v>25</v>
      </c>
      <c r="E2" s="2" t="s">
        <v>25</v>
      </c>
      <c r="F2" s="2" t="s">
        <v>25</v>
      </c>
      <c r="G2" s="2"/>
      <c r="H2" s="2"/>
      <c r="I2" s="2"/>
      <c r="J2" s="2"/>
      <c r="K2" s="2"/>
      <c r="L2" s="2"/>
      <c r="M2" s="2"/>
      <c r="N2" s="2"/>
      <c r="O2" s="2"/>
    </row>
    <row r="3">
      <c r="A3" s="2" t="s">
        <v>34</v>
      </c>
      <c r="B3" s="2" t="s">
        <v>67</v>
      </c>
      <c r="C3" s="2" t="s">
        <v>68</v>
      </c>
      <c r="D3" s="2" t="s">
        <v>23</v>
      </c>
      <c r="E3" s="2" t="s">
        <v>23</v>
      </c>
      <c r="F3" s="2" t="s">
        <v>68</v>
      </c>
      <c r="G3" s="2"/>
      <c r="H3" s="2"/>
      <c r="I3" s="2"/>
      <c r="J3" s="2"/>
      <c r="K3" s="2"/>
      <c r="L3" s="2"/>
      <c r="M3" s="2"/>
      <c r="N3" s="2"/>
      <c r="O3" s="2"/>
    </row>
    <row r="4">
      <c r="A4" s="2" t="s">
        <v>39</v>
      </c>
      <c r="B4" s="2" t="s">
        <v>69</v>
      </c>
      <c r="C4" s="2" t="s">
        <v>22</v>
      </c>
      <c r="D4" s="2" t="s">
        <v>70</v>
      </c>
      <c r="E4" s="2" t="s">
        <v>70</v>
      </c>
      <c r="F4" s="2" t="s">
        <v>71</v>
      </c>
      <c r="G4" s="2"/>
      <c r="H4" s="2"/>
      <c r="I4" s="2"/>
      <c r="J4" s="2"/>
      <c r="K4" s="2"/>
      <c r="L4" s="2"/>
      <c r="M4" s="2"/>
      <c r="N4" s="2"/>
      <c r="O4" s="2"/>
    </row>
    <row r="5">
      <c r="A5" s="2" t="s">
        <v>51</v>
      </c>
      <c r="B5" s="2" t="s">
        <v>72</v>
      </c>
      <c r="C5" s="2" t="s">
        <v>30</v>
      </c>
      <c r="D5" s="2" t="s">
        <v>73</v>
      </c>
      <c r="E5" s="2" t="s">
        <v>24</v>
      </c>
      <c r="F5" s="2" t="s">
        <v>22</v>
      </c>
      <c r="G5" s="2"/>
      <c r="H5" s="2"/>
      <c r="I5" s="2"/>
      <c r="J5" s="2"/>
      <c r="K5" s="2"/>
      <c r="L5" s="2"/>
      <c r="M5" s="2"/>
      <c r="N5" s="2"/>
      <c r="O5" s="2"/>
    </row>
    <row r="6">
      <c r="A6" s="2"/>
      <c r="B6" s="2" t="s">
        <v>74</v>
      </c>
      <c r="C6" s="2" t="s">
        <v>24</v>
      </c>
      <c r="D6" s="2" t="s">
        <v>24</v>
      </c>
      <c r="E6" s="2"/>
      <c r="F6" s="2" t="s">
        <v>75</v>
      </c>
      <c r="G6" s="2"/>
      <c r="H6" s="2"/>
      <c r="I6" s="2"/>
      <c r="J6" s="2"/>
      <c r="K6" s="2"/>
      <c r="L6" s="2"/>
      <c r="M6" s="2"/>
      <c r="N6" s="2"/>
      <c r="O6" s="2"/>
    </row>
    <row r="7">
      <c r="A7" s="2"/>
      <c r="B7" s="2" t="s">
        <v>40</v>
      </c>
      <c r="C7" s="2"/>
      <c r="D7" s="2"/>
      <c r="E7" s="2"/>
      <c r="F7" s="2" t="s">
        <v>24</v>
      </c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2" t="s">
        <v>35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/>
      <c r="B9" s="2" t="s">
        <v>76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/>
      <c r="B10" s="2" t="s">
        <v>77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2"/>
      <c r="B11" s="2" t="s">
        <v>78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28"/>
    <col customWidth="1" min="2" max="2" width="92"/>
  </cols>
  <sheetData>
    <row r="1" ht="30" customHeight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29" t="s">
        <v>80</v>
      </c>
      <c r="B3" s="30" t="s">
        <v>81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9" t="s">
        <v>82</v>
      </c>
      <c r="B4" s="30" t="s">
        <v>83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29" t="s">
        <v>84</v>
      </c>
      <c r="B5" s="30" t="s">
        <v>85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29" t="s">
        <v>86</v>
      </c>
      <c r="B6" s="30" t="s">
        <v>87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29" t="s">
        <v>88</v>
      </c>
      <c r="B7" s="30" t="s">
        <v>89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mergeCells count="1">
    <mergeCell ref="A1:F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